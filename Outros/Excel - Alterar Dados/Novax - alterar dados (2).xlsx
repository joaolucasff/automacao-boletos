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-OEM\Downloads\"/>
    </mc:Choice>
  </mc:AlternateContent>
  <xr:revisionPtr revIDLastSave="0" documentId="13_ncr:1_{F5C1C72D-EA6D-4F1B-922D-C309400DDBC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Alterar dados" sheetId="1" r:id="rId1"/>
    <sheet name="Boletos" sheetId="4" r:id="rId2"/>
    <sheet name="email" sheetId="3" r:id="rId3"/>
  </sheets>
  <definedNames>
    <definedName name="_xlnm._FilterDatabase" localSheetId="0" hidden="1">'Alterar dados'!$A$1:$I$1</definedName>
    <definedName name="_xlnm._FilterDatabase" localSheetId="1" hidden="1">Boletos!$A$1:$A$75</definedName>
    <definedName name="_xlnm._FilterDatabase" localSheetId="2" hidden="1">email!$A$1:$A$26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2" i="1"/>
  <c r="H2" i="1"/>
  <c r="F3" i="1"/>
  <c r="G3" i="1"/>
  <c r="H3" i="1"/>
  <c r="F4" i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G26" i="1" l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</calcChain>
</file>

<file path=xl/sharedStrings.xml><?xml version="1.0" encoding="utf-8"?>
<sst xmlns="http://schemas.openxmlformats.org/spreadsheetml/2006/main" count="63" uniqueCount="49">
  <si>
    <t>Documento</t>
  </si>
  <si>
    <t>Vencimento</t>
  </si>
  <si>
    <t>Valor</t>
  </si>
  <si>
    <t>Valor e vencimento (fórmula)</t>
  </si>
  <si>
    <t>Nº NF (fórmula)</t>
  </si>
  <si>
    <t>Boletos</t>
  </si>
  <si>
    <t>SC SEG SERVICOS ESPECIALIZADOS EIRELI</t>
  </si>
  <si>
    <t>HERIBERTO HULSE COMERCIO DE COMBUSTIVEIS</t>
  </si>
  <si>
    <t>EQS ENGENHARIA LTDA</t>
  </si>
  <si>
    <t>DRIVING CONSULTORIA E ASSESSORIA LTDA</t>
  </si>
  <si>
    <t>TEMPERVILLE INDUSTRIA E COMERCIO LTDA</t>
  </si>
  <si>
    <t>adm@epcengenharia.com.br</t>
  </si>
  <si>
    <t>driving.cgo@gmail.com</t>
  </si>
  <si>
    <t>nilson@temperville.com.br</t>
  </si>
  <si>
    <t>ana.santos@eqsengenharia.com.br; compradores@eqsengenharia.com.br</t>
  </si>
  <si>
    <t>maziero.rodrigo@yahoo.com</t>
  </si>
  <si>
    <t>CARLOS EDUARDO DA CUNHA COELHO</t>
  </si>
  <si>
    <t>ca.coelho@yahoo.com.br</t>
  </si>
  <si>
    <t>DIMENZO ENGENHARIA LTDA</t>
  </si>
  <si>
    <t>financeiro@scseg.com.br; estoque@scseg.com.br; compras@scseg</t>
  </si>
  <si>
    <t>DREAMS INCORPORADORA LTDA</t>
  </si>
  <si>
    <t>gerencia@dreamsincorporadora.com.br</t>
  </si>
  <si>
    <t>EVANDRO RAMIRO ALBIERO EIRELI</t>
  </si>
  <si>
    <t>albiero10@hotmail.com;</t>
  </si>
  <si>
    <t>KOSKI EMPREENDIMENTOS LTDA - ME</t>
  </si>
  <si>
    <t>contato@koski.com.br</t>
  </si>
  <si>
    <t>JMJ COMERCIO ELETROSERVICE LTDA</t>
  </si>
  <si>
    <t>adm@jjeletrica.com.br; lucas@jjeletrica.com.br</t>
  </si>
  <si>
    <t>FORMACCO EMPREENDIMENTOS LTDA.</t>
  </si>
  <si>
    <t>DEUS INCORPORADORA E LOTEADORA EIRELI</t>
  </si>
  <si>
    <t>deusincorporadora@gmail.com; gubruggemann@hotmail.com</t>
  </si>
  <si>
    <t>KSE ESTACOES DE TRATAMENTO DE EFLUENTES</t>
  </si>
  <si>
    <t>financeiro@kseambiental.com.br; karine@kseambiental.com.br</t>
  </si>
  <si>
    <r>
      <rPr>
        <sz val="7"/>
        <rFont val="Arial MT"/>
        <family val="2"/>
      </rPr>
      <t>De acordo</t>
    </r>
  </si>
  <si>
    <r>
      <rPr>
        <sz val="7"/>
        <rFont val="Arial MT"/>
        <family val="2"/>
      </rPr>
      <t>JOTA JOTA MATERIAIS ELETRICOS LTDA EPP (1013455)</t>
    </r>
  </si>
  <si>
    <r>
      <rPr>
        <sz val="7"/>
        <rFont val="Arial MT"/>
        <family val="2"/>
      </rPr>
      <t>CAPITAL RS FIDC NP MULTISSETORIAL</t>
    </r>
  </si>
  <si>
    <r>
      <rPr>
        <sz val="12"/>
        <rFont val="Arial MT"/>
        <family val="2"/>
      </rPr>
      <t>Títulos do recibo:</t>
    </r>
  </si>
  <si>
    <r>
      <rPr>
        <sz val="7"/>
        <rFont val="Arial MT"/>
        <family val="2"/>
      </rPr>
      <t>Nº Doc Nº Pend</t>
    </r>
  </si>
  <si>
    <r>
      <rPr>
        <sz val="7"/>
        <rFont val="Arial MT"/>
        <family val="2"/>
      </rPr>
      <t>**300445/002</t>
    </r>
  </si>
  <si>
    <r>
      <rPr>
        <sz val="7"/>
        <rFont val="Arial MT"/>
        <family val="2"/>
      </rPr>
      <t>**302821/001</t>
    </r>
  </si>
  <si>
    <r>
      <rPr>
        <sz val="7"/>
        <rFont val="Arial MT"/>
        <family val="2"/>
      </rPr>
      <t>**303605/001</t>
    </r>
  </si>
  <si>
    <r>
      <rPr>
        <sz val="7"/>
        <rFont val="Arial MT"/>
        <family val="2"/>
      </rPr>
      <t>Quantidade de Pendências:5 Totais Recibo</t>
    </r>
  </si>
  <si>
    <t>financeiro@formacco.com.br; compras@formacco.com.br; contasa@formacco.com.br</t>
  </si>
  <si>
    <t>RODRIGO MAZIERO MENDES</t>
  </si>
  <si>
    <t>Nome final</t>
  </si>
  <si>
    <t>Pagador</t>
  </si>
  <si>
    <t>CC EMPREENDIMENTO IMOBILIARIO SPE LTDA</t>
  </si>
  <si>
    <t>ArquivoAtual</t>
  </si>
  <si>
    <t>boleto.pdf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</si>
</sst>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d/mm/yyyy;@"/>
    <numFmt numFmtId="166" formatCode="_-[$R$-416]\ * #,##0.00_-;\-[$R$-416]\ * #,##0.00_-;_-[$R$-416]\ * &quot;-&quot;??_-;_-@_-"/>
  </numFmts>
  <fonts count="13">
    <font>
      <sz val="10"/>
      <color rgb="FF000000"/>
      <name val="Times New Roman"/>
      <charset val="204"/>
    </font>
    <font>
      <sz val="12"/>
      <color rgb="FF000000"/>
      <name val="Times New Roman"/>
      <family val="1"/>
    </font>
    <font>
      <b/>
      <sz val="9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3" tint="0.39997558519241921"/>
      <name val="Calibri"/>
      <family val="2"/>
      <scheme val="minor"/>
    </font>
    <font>
      <sz val="9"/>
      <color rgb="FF000000"/>
      <name val="Arial MT"/>
      <family val="2"/>
    </font>
    <font>
      <sz val="9"/>
      <name val="Calibri"/>
      <family val="2"/>
      <scheme val="minor"/>
    </font>
    <font>
      <sz val="10"/>
      <color rgb="FF000000"/>
      <name val="Times New Roman"/>
      <family val="1"/>
    </font>
    <font>
      <sz val="7"/>
      <name val="Arial MT"/>
    </font>
    <font>
      <sz val="7"/>
      <name val="Arial MT"/>
      <family val="2"/>
    </font>
    <font>
      <sz val="7"/>
      <color rgb="FF000000"/>
      <name val="Arial MT"/>
      <family val="2"/>
    </font>
    <font>
      <sz val="12"/>
      <name val="Arial MT"/>
    </font>
    <font>
      <sz val="12"/>
      <name val="Arial MT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Alignment="1">
      <alignment horizontal="left" vertical="top"/>
    </xf>
    <xf numFmtId="1" fontId="5" fillId="0" borderId="1" xfId="0" applyNumberFormat="1" applyFont="1" applyBorder="1" applyAlignment="1">
      <alignment horizontal="left" vertical="top" shrinkToFit="1"/>
    </xf>
    <xf numFmtId="164" fontId="5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" fontId="3" fillId="0" borderId="0" xfId="0" applyNumberFormat="1" applyFont="1" applyAlignment="1">
      <alignment horizontal="left" vertical="top" shrinkToFit="1"/>
    </xf>
    <xf numFmtId="165" fontId="3" fillId="0" borderId="0" xfId="0" applyNumberFormat="1" applyFont="1" applyAlignment="1">
      <alignment horizontal="left" vertical="top"/>
    </xf>
    <xf numFmtId="0" fontId="0" fillId="0" borderId="1" xfId="0" applyBorder="1" applyAlignment="1">
      <alignment horizontal="left" vertical="top"/>
    </xf>
    <xf numFmtId="166" fontId="1" fillId="0" borderId="0" xfId="0" applyNumberFormat="1" applyFont="1" applyAlignment="1">
      <alignment horizontal="left" vertical="top"/>
    </xf>
    <xf numFmtId="166" fontId="5" fillId="0" borderId="1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center" wrapText="1"/>
    </xf>
    <xf numFmtId="20" fontId="0" fillId="0" borderId="0" xfId="0" applyNumberFormat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66" fontId="2" fillId="0" borderId="2" xfId="0" applyNumberFormat="1" applyFont="1" applyBorder="1" applyAlignment="1">
      <alignment horizontal="left" vertical="top"/>
    </xf>
    <xf numFmtId="0" fontId="7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right" vertical="top" wrapText="1"/>
    </xf>
    <xf numFmtId="4" fontId="10" fillId="0" borderId="1" xfId="0" applyNumberFormat="1" applyFont="1" applyBorder="1" applyAlignment="1">
      <alignment horizontal="right" vertical="top" shrinkToFi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8" fillId="0" borderId="3" xfId="0" applyFont="1" applyBorder="1" applyAlignment="1">
      <alignment horizontal="left" vertical="top" wrapText="1" indent="1"/>
    </xf>
    <xf numFmtId="0" fontId="8" fillId="0" borderId="4" xfId="0" applyFont="1" applyBorder="1" applyAlignment="1">
      <alignment horizontal="left" vertical="top" wrapText="1" indent="1"/>
    </xf>
    <xf numFmtId="1" fontId="10" fillId="0" borderId="7" xfId="0" applyNumberFormat="1" applyFont="1" applyBorder="1" applyAlignment="1">
      <alignment horizontal="left" vertical="top" indent="2" shrinkToFit="1"/>
    </xf>
    <xf numFmtId="1" fontId="10" fillId="0" borderId="8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1" fontId="10" fillId="0" borderId="9" xfId="0" applyNumberFormat="1" applyFont="1" applyBorder="1" applyAlignment="1">
      <alignment horizontal="left" vertical="center" indent="2" shrinkToFit="1"/>
    </xf>
    <xf numFmtId="1" fontId="10" fillId="0" borderId="10" xfId="0" applyNumberFormat="1" applyFont="1" applyBorder="1" applyAlignment="1">
      <alignment horizontal="center" vertical="top" shrinkToFit="1"/>
    </xf>
    <xf numFmtId="0" fontId="0" fillId="0" borderId="1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8" fillId="0" borderId="0" xfId="0" applyFont="1" applyAlignment="1">
      <alignment horizontal="left" vertical="top" wrapText="1" indent="6"/>
    </xf>
    <xf numFmtId="1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647700</xdr:colOff>
      <xdr:row>17</xdr:row>
      <xdr:rowOff>101881</xdr:rowOff>
    </xdr:from>
    <xdr:ext cx="2372995" cy="0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468280CC-3E39-4E06-819D-C67C1B811D76}"/>
            </a:ext>
          </a:extLst>
        </xdr:cNvPr>
        <xdr:cNvSpPr/>
      </xdr:nvSpPr>
      <xdr:spPr>
        <a:xfrm>
          <a:off x="647700" y="4150006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19</xdr:row>
      <xdr:rowOff>2821</xdr:rowOff>
    </xdr:from>
    <xdr:ext cx="2372995" cy="0"/>
    <xdr:sp macro="" textlink="">
      <xdr:nvSpPr>
        <xdr:cNvPr id="3" name="Shape 8">
          <a:extLst>
            <a:ext uri="{FF2B5EF4-FFF2-40B4-BE49-F238E27FC236}">
              <a16:creationId xmlns:a16="http://schemas.microsoft.com/office/drawing/2014/main" id="{C382B914-EAC6-4A8E-A015-6C42F8C2249A}"/>
            </a:ext>
          </a:extLst>
        </xdr:cNvPr>
        <xdr:cNvSpPr/>
      </xdr:nvSpPr>
      <xdr:spPr>
        <a:xfrm>
          <a:off x="647700" y="4174771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16</xdr:row>
      <xdr:rowOff>101881</xdr:rowOff>
    </xdr:from>
    <xdr:ext cx="2372995" cy="0"/>
    <xdr:sp macro="" textlink="">
      <xdr:nvSpPr>
        <xdr:cNvPr id="4" name="Shape 7">
          <a:extLst>
            <a:ext uri="{FF2B5EF4-FFF2-40B4-BE49-F238E27FC236}">
              <a16:creationId xmlns:a16="http://schemas.microsoft.com/office/drawing/2014/main" id="{0B23A906-62C7-49A5-A73F-3FF7478E301F}"/>
            </a:ext>
          </a:extLst>
        </xdr:cNvPr>
        <xdr:cNvSpPr/>
      </xdr:nvSpPr>
      <xdr:spPr>
        <a:xfrm>
          <a:off x="647700" y="4150006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18</xdr:row>
      <xdr:rowOff>2821</xdr:rowOff>
    </xdr:from>
    <xdr:ext cx="2372995" cy="0"/>
    <xdr:sp macro="" textlink="">
      <xdr:nvSpPr>
        <xdr:cNvPr id="5" name="Shape 8">
          <a:extLst>
            <a:ext uri="{FF2B5EF4-FFF2-40B4-BE49-F238E27FC236}">
              <a16:creationId xmlns:a16="http://schemas.microsoft.com/office/drawing/2014/main" id="{3FA80BE0-4C0E-42D2-A742-FEB80287AD4F}"/>
            </a:ext>
          </a:extLst>
        </xdr:cNvPr>
        <xdr:cNvSpPr/>
      </xdr:nvSpPr>
      <xdr:spPr>
        <a:xfrm>
          <a:off x="647700" y="4174771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16</xdr:row>
      <xdr:rowOff>101881</xdr:rowOff>
    </xdr:from>
    <xdr:ext cx="2372995" cy="0"/>
    <xdr:sp macro="" textlink="">
      <xdr:nvSpPr>
        <xdr:cNvPr id="6" name="Shape 7">
          <a:extLst>
            <a:ext uri="{FF2B5EF4-FFF2-40B4-BE49-F238E27FC236}">
              <a16:creationId xmlns:a16="http://schemas.microsoft.com/office/drawing/2014/main" id="{E9E57B16-27F4-4092-9ABC-AC2585B4A3ED}"/>
            </a:ext>
          </a:extLst>
        </xdr:cNvPr>
        <xdr:cNvSpPr/>
      </xdr:nvSpPr>
      <xdr:spPr>
        <a:xfrm>
          <a:off x="647700" y="4150006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18</xdr:row>
      <xdr:rowOff>2821</xdr:rowOff>
    </xdr:from>
    <xdr:ext cx="2372995" cy="0"/>
    <xdr:sp macro="" textlink="">
      <xdr:nvSpPr>
        <xdr:cNvPr id="7" name="Shape 8">
          <a:extLst>
            <a:ext uri="{FF2B5EF4-FFF2-40B4-BE49-F238E27FC236}">
              <a16:creationId xmlns:a16="http://schemas.microsoft.com/office/drawing/2014/main" id="{99B9CA1E-DEEC-46EA-AA0B-3DF0A3AAD480}"/>
            </a:ext>
          </a:extLst>
        </xdr:cNvPr>
        <xdr:cNvSpPr/>
      </xdr:nvSpPr>
      <xdr:spPr>
        <a:xfrm>
          <a:off x="647700" y="4174771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16</xdr:row>
      <xdr:rowOff>101881</xdr:rowOff>
    </xdr:from>
    <xdr:ext cx="2372995" cy="0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B59F2B55-DC79-4FAD-AE94-D82F87407DD8}"/>
            </a:ext>
          </a:extLst>
        </xdr:cNvPr>
        <xdr:cNvSpPr/>
      </xdr:nvSpPr>
      <xdr:spPr>
        <a:xfrm>
          <a:off x="647700" y="4150006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18</xdr:row>
      <xdr:rowOff>2821</xdr:rowOff>
    </xdr:from>
    <xdr:ext cx="2372995" cy="0"/>
    <xdr:sp macro="" textlink="">
      <xdr:nvSpPr>
        <xdr:cNvPr id="9" name="Shape 8">
          <a:extLst>
            <a:ext uri="{FF2B5EF4-FFF2-40B4-BE49-F238E27FC236}">
              <a16:creationId xmlns:a16="http://schemas.microsoft.com/office/drawing/2014/main" id="{4DF75E2A-EF7B-4739-848E-B0C8FB468AF3}"/>
            </a:ext>
          </a:extLst>
        </xdr:cNvPr>
        <xdr:cNvSpPr/>
      </xdr:nvSpPr>
      <xdr:spPr>
        <a:xfrm>
          <a:off x="647700" y="4174771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3"/>
  <sheetViews>
    <sheetView tabSelected="1" topLeftCell="C1" zoomScale="110" zoomScaleNormal="110" workbookViewId="0">
      <selection activeCell="F5" sqref="F5"/>
    </sheetView>
  </sheetViews>
  <sheetFormatPr defaultColWidth="9.33203125" defaultRowHeight="15.75"/>
  <cols>
    <col min="1" max="1" width="24.1640625" style="8" customWidth="1"/>
    <col min="2" max="2" width="53" style="8" bestFit="1" customWidth="1"/>
    <col min="3" max="3" width="18.1640625" style="8" customWidth="1"/>
    <col min="4" max="4" width="14.6640625" style="13" customWidth="1"/>
    <col min="5" max="5" width="16.33203125" style="8" customWidth="1"/>
    <col min="6" max="6" width="59.5" style="8" customWidth="1"/>
    <col min="7" max="7" width="17.33203125" style="8" customWidth="1"/>
    <col min="8" max="8" width="35.1640625" style="8" customWidth="1"/>
    <col min="9" max="9" width="81.83203125" style="8" customWidth="1"/>
    <col min="10" max="10" width="104.5" style="8" customWidth="1"/>
    <col min="11" max="11" width="48.5" style="8" customWidth="1"/>
    <col min="12" max="16384" width="9.33203125" style="8"/>
  </cols>
  <sheetData>
    <row r="1" spans="1:9" ht="16.5" customHeight="1">
      <c r="A1" s="5" t="s">
        <v>0</v>
      </c>
      <c r="B1" s="5" t="s">
        <v>45</v>
      </c>
      <c r="C1" s="5" t="s">
        <v>1</v>
      </c>
      <c r="D1" s="18" t="s">
        <v>2</v>
      </c>
      <c r="E1" s="6"/>
      <c r="F1" s="7" t="s">
        <v>44</v>
      </c>
      <c r="G1" s="7" t="s">
        <v>4</v>
      </c>
      <c r="H1" s="7" t="s">
        <v>3</v>
      </c>
      <c r="I1" s="7" t="s">
        <v>47</v>
      </c>
    </row>
    <row r="2" spans="1:9">
      <c r="A2">
        <v>308132</v>
      </c>
      <c r="B2" t="s">
        <v>46</v>
      </c>
      <c r="C2" s="37">
        <v>45954</v>
      </c>
      <c r="D2" s="38">
        <v>1288.3</v>
      </c>
      <c r="F2" s="9" t="str">
        <f t="shared" ref="F2:F29" si="0">_xlfn.CONCAT(B2," ",(TEXT(C2,"dd-mm"))," ",(DOLLAR(D2,2)))</f>
        <v>CC EMPREENDIMENTO IMOBILIARIO SPE LTDA 24-10 R$ 1.288,30</v>
      </c>
      <c r="G2" s="10" t="str">
        <f t="shared" ref="G2:G29" si="1">MID(A2,1,6)</f>
        <v>308132</v>
      </c>
      <c r="H2" s="11" t="str">
        <f t="shared" ref="H2:H29" si="2">_xlfn.CONCAT((DOLLAR(D2,2))," - vencimento ",(TEXT(C2,"dd/mm/aaaa")))</f>
        <v>R$ 1.288,30 - vencimento 24/10/2025</v>
      </c>
      <c r="I2" s="15" t="s">
        <v>48</v>
      </c>
    </row>
    <row r="3" spans="1:9">
      <c r="A3" s="20"/>
      <c r="B3" s="23"/>
      <c r="C3" s="21"/>
      <c r="D3" s="22"/>
      <c r="F3" s="9" t="str">
        <f t="shared" si="0"/>
        <v xml:space="preserve"> 00-01 R$ 0,00</v>
      </c>
      <c r="G3" s="10" t="str">
        <f t="shared" si="1"/>
        <v/>
      </c>
      <c r="H3" s="11" t="str">
        <f t="shared" si="2"/>
        <v>R$ 0,00 - vencimento 00/01/1900</v>
      </c>
      <c r="I3" s="15"/>
    </row>
    <row r="4" spans="1:9">
      <c r="A4" s="1"/>
      <c r="B4" s="17"/>
      <c r="C4" s="2"/>
      <c r="D4" s="3"/>
      <c r="F4" s="9" t="str">
        <f t="shared" si="0"/>
        <v xml:space="preserve"> 00-01 R$ 0,00</v>
      </c>
      <c r="G4" s="10" t="str">
        <f t="shared" si="1"/>
        <v/>
      </c>
      <c r="H4" s="11" t="str">
        <f t="shared" si="2"/>
        <v>R$ 0,00 - vencimento 00/01/1900</v>
      </c>
      <c r="I4" s="15"/>
    </row>
    <row r="5" spans="1:9">
      <c r="A5" s="1"/>
      <c r="B5" s="17"/>
      <c r="C5" s="2"/>
      <c r="D5" s="3"/>
      <c r="F5" s="9" t="str">
        <f t="shared" si="0"/>
        <v xml:space="preserve"> 00-01 R$ 0,00</v>
      </c>
      <c r="G5" s="10" t="str">
        <f t="shared" si="1"/>
        <v/>
      </c>
      <c r="H5" s="11" t="str">
        <f t="shared" si="2"/>
        <v>R$ 0,00 - vencimento 00/01/1900</v>
      </c>
      <c r="I5" s="15"/>
    </row>
    <row r="6" spans="1:9">
      <c r="A6" s="1"/>
      <c r="B6" s="17"/>
      <c r="C6" s="2"/>
      <c r="D6" s="3"/>
      <c r="F6" s="9" t="str">
        <f t="shared" si="0"/>
        <v xml:space="preserve"> 00-01 R$ 0,00</v>
      </c>
      <c r="G6" s="10" t="str">
        <f t="shared" si="1"/>
        <v/>
      </c>
      <c r="H6" s="11" t="str">
        <f t="shared" si="2"/>
        <v>R$ 0,00 - vencimento 00/01/1900</v>
      </c>
      <c r="I6" s="15"/>
    </row>
    <row r="7" spans="1:9">
      <c r="A7" s="1"/>
      <c r="B7" s="17"/>
      <c r="C7" s="2"/>
      <c r="D7" s="3"/>
      <c r="F7" s="9" t="str">
        <f t="shared" si="0"/>
        <v xml:space="preserve"> 00-01 R$ 0,00</v>
      </c>
      <c r="G7" s="10" t="str">
        <f t="shared" si="1"/>
        <v/>
      </c>
      <c r="H7" s="11" t="str">
        <f t="shared" si="2"/>
        <v>R$ 0,00 - vencimento 00/01/1900</v>
      </c>
      <c r="I7" s="15"/>
    </row>
    <row r="8" spans="1:9">
      <c r="A8" s="1"/>
      <c r="B8" s="17"/>
      <c r="C8" s="2"/>
      <c r="D8" s="3"/>
      <c r="F8" s="9" t="str">
        <f t="shared" si="0"/>
        <v xml:space="preserve"> 00-01 R$ 0,00</v>
      </c>
      <c r="G8" s="10" t="str">
        <f t="shared" si="1"/>
        <v/>
      </c>
      <c r="H8" s="11" t="str">
        <f t="shared" si="2"/>
        <v>R$ 0,00 - vencimento 00/01/1900</v>
      </c>
      <c r="I8" s="15"/>
    </row>
    <row r="9" spans="1:9">
      <c r="A9" s="1"/>
      <c r="B9" s="17"/>
      <c r="C9" s="2"/>
      <c r="D9" s="3"/>
      <c r="F9" s="9" t="str">
        <f t="shared" si="0"/>
        <v xml:space="preserve"> 00-01 R$ 0,00</v>
      </c>
      <c r="G9" s="10" t="str">
        <f t="shared" si="1"/>
        <v/>
      </c>
      <c r="H9" s="11" t="str">
        <f t="shared" si="2"/>
        <v>R$ 0,00 - vencimento 00/01/1900</v>
      </c>
      <c r="I9" s="15"/>
    </row>
    <row r="10" spans="1:9">
      <c r="A10" s="1"/>
      <c r="B10" s="17"/>
      <c r="C10" s="2"/>
      <c r="D10" s="3"/>
      <c r="F10" s="9" t="str">
        <f t="shared" si="0"/>
        <v xml:space="preserve"> 00-01 R$ 0,00</v>
      </c>
      <c r="G10" s="10" t="str">
        <f t="shared" si="1"/>
        <v/>
      </c>
      <c r="H10" s="11" t="str">
        <f t="shared" si="2"/>
        <v>R$ 0,00 - vencimento 00/01/1900</v>
      </c>
      <c r="I10" s="15"/>
    </row>
    <row r="11" spans="1:9">
      <c r="A11" s="1"/>
      <c r="B11" s="17"/>
      <c r="C11" s="2"/>
      <c r="D11" s="3"/>
      <c r="F11" s="9" t="str">
        <f t="shared" si="0"/>
        <v xml:space="preserve"> 00-01 R$ 0,00</v>
      </c>
      <c r="G11" s="10" t="str">
        <f t="shared" si="1"/>
        <v/>
      </c>
      <c r="H11" s="11" t="str">
        <f t="shared" si="2"/>
        <v>R$ 0,00 - vencimento 00/01/1900</v>
      </c>
      <c r="I11" s="15"/>
    </row>
    <row r="12" spans="1:9">
      <c r="A12" s="1"/>
      <c r="B12" s="17"/>
      <c r="C12" s="2"/>
      <c r="D12" s="4"/>
      <c r="F12" s="9" t="str">
        <f t="shared" si="0"/>
        <v xml:space="preserve"> 00-01 R$ 0,00</v>
      </c>
      <c r="G12" s="10" t="str">
        <f t="shared" si="1"/>
        <v/>
      </c>
      <c r="H12" s="11" t="str">
        <f t="shared" si="2"/>
        <v>R$ 0,00 - vencimento 00/01/1900</v>
      </c>
      <c r="I12" s="15"/>
    </row>
    <row r="13" spans="1:9">
      <c r="A13" s="1"/>
      <c r="B13" s="17"/>
      <c r="C13" s="2"/>
      <c r="D13" s="4"/>
      <c r="F13" s="9" t="str">
        <f t="shared" si="0"/>
        <v xml:space="preserve"> 00-01 R$ 0,00</v>
      </c>
      <c r="G13" s="10" t="str">
        <f t="shared" si="1"/>
        <v/>
      </c>
      <c r="H13" s="11" t="str">
        <f t="shared" si="2"/>
        <v>R$ 0,00 - vencimento 00/01/1900</v>
      </c>
      <c r="I13" s="15"/>
    </row>
    <row r="14" spans="1:9">
      <c r="A14" s="1"/>
      <c r="B14" s="17"/>
      <c r="C14" s="2"/>
      <c r="D14" s="4"/>
      <c r="F14" s="9" t="str">
        <f t="shared" si="0"/>
        <v xml:space="preserve"> 00-01 R$ 0,00</v>
      </c>
      <c r="G14" s="10" t="str">
        <f t="shared" si="1"/>
        <v/>
      </c>
      <c r="H14" s="11" t="str">
        <f t="shared" si="2"/>
        <v>R$ 0,00 - vencimento 00/01/1900</v>
      </c>
      <c r="I14" s="15"/>
    </row>
    <row r="15" spans="1:9">
      <c r="A15" s="1"/>
      <c r="B15" s="17"/>
      <c r="C15" s="2"/>
      <c r="D15" s="4"/>
      <c r="F15" s="9" t="str">
        <f t="shared" si="0"/>
        <v xml:space="preserve"> 00-01 R$ 0,00</v>
      </c>
      <c r="G15" s="10" t="str">
        <f t="shared" si="1"/>
        <v/>
      </c>
      <c r="H15" s="11" t="str">
        <f t="shared" si="2"/>
        <v>R$ 0,00 - vencimento 00/01/1900</v>
      </c>
      <c r="I15" s="15"/>
    </row>
    <row r="16" spans="1:9">
      <c r="A16" s="1"/>
      <c r="B16" s="17"/>
      <c r="C16" s="2"/>
      <c r="D16" s="3"/>
      <c r="F16" s="9" t="str">
        <f t="shared" si="0"/>
        <v xml:space="preserve"> 00-01 R$ 0,00</v>
      </c>
      <c r="G16" s="10" t="str">
        <f t="shared" si="1"/>
        <v/>
      </c>
      <c r="H16" s="11" t="str">
        <f t="shared" si="2"/>
        <v>R$ 0,00 - vencimento 00/01/1900</v>
      </c>
      <c r="I16" s="15"/>
    </row>
    <row r="17" spans="1:9">
      <c r="A17" s="1"/>
      <c r="B17" s="17"/>
      <c r="C17" s="2"/>
      <c r="D17" s="3"/>
      <c r="F17" s="9" t="str">
        <f t="shared" si="0"/>
        <v xml:space="preserve"> 00-01 R$ 0,00</v>
      </c>
      <c r="G17" s="10" t="str">
        <f t="shared" si="1"/>
        <v/>
      </c>
      <c r="H17" s="11" t="str">
        <f t="shared" si="2"/>
        <v>R$ 0,00 - vencimento 00/01/1900</v>
      </c>
      <c r="I17" s="15"/>
    </row>
    <row r="18" spans="1:9">
      <c r="A18" s="1"/>
      <c r="B18" s="17"/>
      <c r="C18" s="2"/>
      <c r="D18" s="3"/>
      <c r="F18" s="9" t="str">
        <f t="shared" si="0"/>
        <v xml:space="preserve"> 00-01 R$ 0,00</v>
      </c>
      <c r="G18" s="10" t="str">
        <f t="shared" si="1"/>
        <v/>
      </c>
      <c r="H18" s="11" t="str">
        <f t="shared" si="2"/>
        <v>R$ 0,00 - vencimento 00/01/1900</v>
      </c>
      <c r="I18" s="15"/>
    </row>
    <row r="19" spans="1:9">
      <c r="A19" s="1"/>
      <c r="B19" s="17"/>
      <c r="C19" s="2"/>
      <c r="D19" s="3"/>
      <c r="F19" s="9" t="str">
        <f t="shared" si="0"/>
        <v xml:space="preserve"> 00-01 R$ 0,00</v>
      </c>
      <c r="G19" s="10" t="str">
        <f t="shared" si="1"/>
        <v/>
      </c>
      <c r="H19" s="11" t="str">
        <f t="shared" si="2"/>
        <v>R$ 0,00 - vencimento 00/01/1900</v>
      </c>
      <c r="I19" s="15"/>
    </row>
    <row r="20" spans="1:9">
      <c r="A20" s="1"/>
      <c r="B20" s="17"/>
      <c r="C20" s="2"/>
      <c r="D20" s="3"/>
      <c r="F20" s="9" t="str">
        <f t="shared" si="0"/>
        <v xml:space="preserve"> 00-01 R$ 0,00</v>
      </c>
      <c r="G20" s="10" t="str">
        <f t="shared" si="1"/>
        <v/>
      </c>
      <c r="H20" s="11" t="str">
        <f t="shared" si="2"/>
        <v>R$ 0,00 - vencimento 00/01/1900</v>
      </c>
      <c r="I20" s="15"/>
    </row>
    <row r="21" spans="1:9">
      <c r="A21" s="1"/>
      <c r="B21" s="17"/>
      <c r="C21" s="2"/>
      <c r="D21" s="3"/>
      <c r="F21" s="9" t="str">
        <f t="shared" si="0"/>
        <v xml:space="preserve"> 00-01 R$ 0,00</v>
      </c>
      <c r="G21" s="10" t="str">
        <f t="shared" si="1"/>
        <v/>
      </c>
      <c r="H21" s="11" t="str">
        <f t="shared" si="2"/>
        <v>R$ 0,00 - vencimento 00/01/1900</v>
      </c>
      <c r="I21" s="15"/>
    </row>
    <row r="22" spans="1:9">
      <c r="A22" s="1"/>
      <c r="B22" s="17"/>
      <c r="C22" s="2"/>
      <c r="D22" s="3"/>
      <c r="F22" s="9" t="str">
        <f t="shared" si="0"/>
        <v xml:space="preserve"> 00-01 R$ 0,00</v>
      </c>
      <c r="G22" s="10" t="str">
        <f t="shared" si="1"/>
        <v/>
      </c>
      <c r="H22" s="11" t="str">
        <f t="shared" si="2"/>
        <v>R$ 0,00 - vencimento 00/01/1900</v>
      </c>
      <c r="I22" s="15"/>
    </row>
    <row r="23" spans="1:9">
      <c r="A23" s="1"/>
      <c r="B23" s="17"/>
      <c r="C23" s="2"/>
      <c r="D23" s="3"/>
      <c r="F23" s="9" t="str">
        <f t="shared" si="0"/>
        <v xml:space="preserve"> 00-01 R$ 0,00</v>
      </c>
      <c r="G23" s="10" t="str">
        <f t="shared" si="1"/>
        <v/>
      </c>
      <c r="H23" s="11" t="str">
        <f t="shared" si="2"/>
        <v>R$ 0,00 - vencimento 00/01/1900</v>
      </c>
      <c r="I23" s="15"/>
    </row>
    <row r="24" spans="1:9">
      <c r="A24" s="1"/>
      <c r="B24" s="17"/>
      <c r="C24" s="2"/>
      <c r="D24" s="3"/>
      <c r="F24" s="9" t="str">
        <f t="shared" si="0"/>
        <v xml:space="preserve"> 00-01 R$ 0,00</v>
      </c>
      <c r="G24" s="10" t="str">
        <f t="shared" si="1"/>
        <v/>
      </c>
      <c r="H24" s="11" t="str">
        <f t="shared" si="2"/>
        <v>R$ 0,00 - vencimento 00/01/1900</v>
      </c>
      <c r="I24" s="15"/>
    </row>
    <row r="25" spans="1:9">
      <c r="A25" s="1"/>
      <c r="B25" s="17"/>
      <c r="C25" s="2"/>
      <c r="D25" s="3"/>
      <c r="F25" s="9" t="str">
        <f t="shared" si="0"/>
        <v xml:space="preserve"> 00-01 R$ 0,00</v>
      </c>
      <c r="G25" s="10" t="str">
        <f t="shared" si="1"/>
        <v/>
      </c>
      <c r="H25" s="11" t="str">
        <f t="shared" si="2"/>
        <v>R$ 0,00 - vencimento 00/01/1900</v>
      </c>
      <c r="I25" s="15"/>
    </row>
    <row r="26" spans="1:9">
      <c r="A26" s="1"/>
      <c r="B26" s="17"/>
      <c r="C26" s="2"/>
      <c r="D26" s="4"/>
      <c r="F26" s="9" t="str">
        <f t="shared" si="0"/>
        <v xml:space="preserve"> 00-01 R$ 0,00</v>
      </c>
      <c r="G26" s="10" t="str">
        <f t="shared" si="1"/>
        <v/>
      </c>
      <c r="H26" s="11" t="str">
        <f t="shared" si="2"/>
        <v>R$ 0,00 - vencimento 00/01/1900</v>
      </c>
      <c r="I26" s="15"/>
    </row>
    <row r="27" spans="1:9">
      <c r="A27" s="1"/>
      <c r="B27" s="17"/>
      <c r="C27" s="2"/>
      <c r="D27" s="3"/>
      <c r="F27" s="9" t="str">
        <f t="shared" si="0"/>
        <v xml:space="preserve"> 00-01 R$ 0,00</v>
      </c>
      <c r="G27" s="10" t="str">
        <f t="shared" si="1"/>
        <v/>
      </c>
      <c r="H27" s="11" t="str">
        <f t="shared" si="2"/>
        <v>R$ 0,00 - vencimento 00/01/1900</v>
      </c>
      <c r="I27" s="15"/>
    </row>
    <row r="28" spans="1:9">
      <c r="A28" s="1"/>
      <c r="B28" s="17"/>
      <c r="C28" s="2"/>
      <c r="D28" s="3"/>
      <c r="F28" s="9" t="str">
        <f t="shared" si="0"/>
        <v xml:space="preserve"> 00-01 R$ 0,00</v>
      </c>
      <c r="G28" s="10" t="str">
        <f t="shared" si="1"/>
        <v/>
      </c>
      <c r="H28" s="11" t="str">
        <f t="shared" si="2"/>
        <v>R$ 0,00 - vencimento 00/01/1900</v>
      </c>
      <c r="I28" s="15"/>
    </row>
    <row r="29" spans="1:9">
      <c r="A29" s="1"/>
      <c r="B29" s="17"/>
      <c r="C29" s="2"/>
      <c r="D29" s="4"/>
      <c r="F29" s="9" t="str">
        <f t="shared" si="0"/>
        <v xml:space="preserve"> 00-01 R$ 0,00</v>
      </c>
      <c r="G29" s="10" t="str">
        <f t="shared" si="1"/>
        <v/>
      </c>
      <c r="H29" s="11" t="str">
        <f t="shared" si="2"/>
        <v>R$ 0,00 - vencimento 00/01/1900</v>
      </c>
      <c r="I29" s="15"/>
    </row>
    <row r="30" spans="1:9">
      <c r="A30" s="1"/>
      <c r="B30" s="17"/>
      <c r="C30" s="2"/>
      <c r="D30" s="3"/>
      <c r="F30" s="9" t="str">
        <f t="shared" ref="F30:F35" si="3">_xlfn.CONCAT(B30," ",(TEXT(C30,"dd-mm"))," ",(DOLLAR(D30,2)))</f>
        <v xml:space="preserve"> 00-01 R$ 0,00</v>
      </c>
      <c r="G30" s="10" t="str">
        <f t="shared" ref="G30:G35" si="4">MID(A30,1,6)</f>
        <v/>
      </c>
      <c r="H30" s="11" t="str">
        <f t="shared" ref="H30:H35" si="5">_xlfn.CONCAT((DOLLAR(D30,2))," - vencimento ",(TEXT(C30,"dd/mm/aaaa")))</f>
        <v>R$ 0,00 - vencimento 00/01/1900</v>
      </c>
      <c r="I30" s="15"/>
    </row>
    <row r="31" spans="1:9">
      <c r="A31" s="1"/>
      <c r="B31" s="17"/>
      <c r="C31" s="2"/>
      <c r="D31" s="3"/>
      <c r="F31" s="9" t="str">
        <f t="shared" si="3"/>
        <v xml:space="preserve"> 00-01 R$ 0,00</v>
      </c>
      <c r="G31" s="10" t="str">
        <f t="shared" si="4"/>
        <v/>
      </c>
      <c r="H31" s="11" t="str">
        <f t="shared" si="5"/>
        <v>R$ 0,00 - vencimento 00/01/1900</v>
      </c>
      <c r="I31" s="15"/>
    </row>
    <row r="32" spans="1:9">
      <c r="A32" s="1"/>
      <c r="B32" s="17"/>
      <c r="C32" s="2"/>
      <c r="D32" s="3"/>
      <c r="F32" s="9" t="str">
        <f t="shared" si="3"/>
        <v xml:space="preserve"> 00-01 R$ 0,00</v>
      </c>
      <c r="G32" s="10" t="str">
        <f t="shared" si="4"/>
        <v/>
      </c>
      <c r="H32" s="11" t="str">
        <f t="shared" si="5"/>
        <v>R$ 0,00 - vencimento 00/01/1900</v>
      </c>
      <c r="I32" s="15"/>
    </row>
    <row r="33" spans="1:9">
      <c r="A33" s="1"/>
      <c r="B33" s="17"/>
      <c r="C33" s="2"/>
      <c r="D33" s="3"/>
      <c r="F33" s="9" t="str">
        <f t="shared" si="3"/>
        <v xml:space="preserve"> 00-01 R$ 0,00</v>
      </c>
      <c r="G33" s="10" t="str">
        <f t="shared" si="4"/>
        <v/>
      </c>
      <c r="H33" s="11" t="str">
        <f t="shared" si="5"/>
        <v>R$ 0,00 - vencimento 00/01/1900</v>
      </c>
      <c r="I33" s="15"/>
    </row>
    <row r="34" spans="1:9">
      <c r="A34" s="1"/>
      <c r="B34" s="17"/>
      <c r="C34" s="2"/>
      <c r="D34" s="3"/>
      <c r="F34" s="9" t="str">
        <f t="shared" si="3"/>
        <v xml:space="preserve"> 00-01 R$ 0,00</v>
      </c>
      <c r="G34" s="10" t="str">
        <f t="shared" si="4"/>
        <v/>
      </c>
      <c r="H34" s="11" t="str">
        <f t="shared" si="5"/>
        <v>R$ 0,00 - vencimento 00/01/1900</v>
      </c>
      <c r="I34" s="15"/>
    </row>
    <row r="35" spans="1:9">
      <c r="A35" s="1"/>
      <c r="B35" s="17"/>
      <c r="C35" s="2"/>
      <c r="D35" s="3"/>
      <c r="F35" s="9" t="str">
        <f t="shared" si="3"/>
        <v xml:space="preserve"> 00-01 R$ 0,00</v>
      </c>
      <c r="G35" s="10" t="str">
        <f t="shared" si="4"/>
        <v/>
      </c>
      <c r="H35" s="11" t="str">
        <f t="shared" si="5"/>
        <v>R$ 0,00 - vencimento 00/01/1900</v>
      </c>
      <c r="I35" s="15"/>
    </row>
    <row r="36" spans="1:9">
      <c r="A36" s="1"/>
      <c r="B36" s="12"/>
      <c r="C36" s="2"/>
      <c r="D36" s="14"/>
      <c r="F36" s="9" t="str">
        <f t="shared" ref="F36:F63" si="6">_xlfn.CONCAT(B36," ",(TEXT(C36,"dd-mm"))," ",(DOLLAR(D36,2)))</f>
        <v xml:space="preserve"> 00-01 R$ 0,00</v>
      </c>
      <c r="G36" s="10" t="str">
        <f t="shared" ref="G36:G63" si="7">MID(A36,1,6)</f>
        <v/>
      </c>
      <c r="H36" s="11" t="str">
        <f t="shared" ref="H36:H63" si="8">_xlfn.CONCAT((DOLLAR(D36,2))," - vencimento ",(TEXT(C36,"dd/mm/aaaa")))</f>
        <v>R$ 0,00 - vencimento 00/01/1900</v>
      </c>
    </row>
    <row r="37" spans="1:9">
      <c r="A37" s="1"/>
      <c r="B37" s="12"/>
      <c r="C37" s="2"/>
      <c r="D37" s="14"/>
      <c r="F37" s="9" t="str">
        <f t="shared" si="6"/>
        <v xml:space="preserve"> 00-01 R$ 0,00</v>
      </c>
      <c r="G37" s="10" t="str">
        <f t="shared" si="7"/>
        <v/>
      </c>
      <c r="H37" s="11" t="str">
        <f t="shared" si="8"/>
        <v>R$ 0,00 - vencimento 00/01/1900</v>
      </c>
    </row>
    <row r="38" spans="1:9">
      <c r="A38" s="1"/>
      <c r="B38" s="12"/>
      <c r="C38" s="2"/>
      <c r="D38" s="14"/>
      <c r="F38" s="9" t="str">
        <f t="shared" si="6"/>
        <v xml:space="preserve"> 00-01 R$ 0,00</v>
      </c>
      <c r="G38" s="10" t="str">
        <f t="shared" si="7"/>
        <v/>
      </c>
      <c r="H38" s="11" t="str">
        <f t="shared" si="8"/>
        <v>R$ 0,00 - vencimento 00/01/1900</v>
      </c>
    </row>
    <row r="39" spans="1:9">
      <c r="A39" s="1"/>
      <c r="B39" s="12"/>
      <c r="C39" s="2"/>
      <c r="D39" s="14"/>
      <c r="F39" s="9" t="str">
        <f t="shared" si="6"/>
        <v xml:space="preserve"> 00-01 R$ 0,00</v>
      </c>
      <c r="G39" s="10" t="str">
        <f t="shared" si="7"/>
        <v/>
      </c>
      <c r="H39" s="11" t="str">
        <f t="shared" si="8"/>
        <v>R$ 0,00 - vencimento 00/01/1900</v>
      </c>
    </row>
    <row r="40" spans="1:9">
      <c r="A40" s="1"/>
      <c r="B40" s="12"/>
      <c r="C40" s="2"/>
      <c r="D40" s="14"/>
      <c r="F40" s="9" t="str">
        <f t="shared" si="6"/>
        <v xml:space="preserve"> 00-01 R$ 0,00</v>
      </c>
      <c r="G40" s="10" t="str">
        <f t="shared" si="7"/>
        <v/>
      </c>
      <c r="H40" s="11" t="str">
        <f t="shared" si="8"/>
        <v>R$ 0,00 - vencimento 00/01/1900</v>
      </c>
    </row>
    <row r="41" spans="1:9">
      <c r="A41" s="1"/>
      <c r="B41" s="12"/>
      <c r="C41" s="2"/>
      <c r="D41" s="14"/>
      <c r="F41" s="9" t="str">
        <f t="shared" si="6"/>
        <v xml:space="preserve"> 00-01 R$ 0,00</v>
      </c>
      <c r="G41" s="10" t="str">
        <f t="shared" si="7"/>
        <v/>
      </c>
      <c r="H41" s="11" t="str">
        <f t="shared" si="8"/>
        <v>R$ 0,00 - vencimento 00/01/1900</v>
      </c>
    </row>
    <row r="42" spans="1:9">
      <c r="A42" s="1"/>
      <c r="B42" s="12"/>
      <c r="C42" s="2"/>
      <c r="D42" s="14"/>
      <c r="F42" s="9" t="str">
        <f t="shared" si="6"/>
        <v xml:space="preserve"> 00-01 R$ 0,00</v>
      </c>
      <c r="G42" s="10" t="str">
        <f t="shared" si="7"/>
        <v/>
      </c>
      <c r="H42" s="11" t="str">
        <f t="shared" si="8"/>
        <v>R$ 0,00 - vencimento 00/01/1900</v>
      </c>
    </row>
    <row r="43" spans="1:9">
      <c r="A43" s="1"/>
      <c r="B43" s="12"/>
      <c r="C43" s="2"/>
      <c r="D43" s="14"/>
      <c r="F43" s="9" t="str">
        <f t="shared" si="6"/>
        <v xml:space="preserve"> 00-01 R$ 0,00</v>
      </c>
      <c r="G43" s="10" t="str">
        <f t="shared" si="7"/>
        <v/>
      </c>
      <c r="H43" s="11" t="str">
        <f t="shared" si="8"/>
        <v>R$ 0,00 - vencimento 00/01/1900</v>
      </c>
    </row>
    <row r="44" spans="1:9">
      <c r="A44" s="1"/>
      <c r="B44" s="12"/>
      <c r="C44" s="2"/>
      <c r="D44" s="14"/>
      <c r="F44" s="9" t="str">
        <f t="shared" si="6"/>
        <v xml:space="preserve"> 00-01 R$ 0,00</v>
      </c>
      <c r="G44" s="10" t="str">
        <f t="shared" si="7"/>
        <v/>
      </c>
      <c r="H44" s="11" t="str">
        <f t="shared" si="8"/>
        <v>R$ 0,00 - vencimento 00/01/1900</v>
      </c>
    </row>
    <row r="45" spans="1:9">
      <c r="A45" s="1"/>
      <c r="B45" s="12"/>
      <c r="C45" s="2"/>
      <c r="D45" s="14"/>
      <c r="F45" s="9" t="str">
        <f t="shared" si="6"/>
        <v xml:space="preserve"> 00-01 R$ 0,00</v>
      </c>
      <c r="G45" s="10" t="str">
        <f t="shared" si="7"/>
        <v/>
      </c>
      <c r="H45" s="11" t="str">
        <f t="shared" si="8"/>
        <v>R$ 0,00 - vencimento 00/01/1900</v>
      </c>
    </row>
    <row r="46" spans="1:9">
      <c r="A46" s="1"/>
      <c r="B46" s="12"/>
      <c r="C46" s="2"/>
      <c r="D46" s="14"/>
      <c r="F46" s="9" t="str">
        <f t="shared" si="6"/>
        <v xml:space="preserve"> 00-01 R$ 0,00</v>
      </c>
      <c r="G46" s="10" t="str">
        <f t="shared" si="7"/>
        <v/>
      </c>
      <c r="H46" s="11" t="str">
        <f t="shared" si="8"/>
        <v>R$ 0,00 - vencimento 00/01/1900</v>
      </c>
    </row>
    <row r="47" spans="1:9">
      <c r="A47" s="1"/>
      <c r="B47" s="12"/>
      <c r="C47" s="2"/>
      <c r="D47" s="14"/>
      <c r="F47" s="9" t="str">
        <f t="shared" si="6"/>
        <v xml:space="preserve"> 00-01 R$ 0,00</v>
      </c>
      <c r="G47" s="10" t="str">
        <f t="shared" si="7"/>
        <v/>
      </c>
      <c r="H47" s="11" t="str">
        <f t="shared" si="8"/>
        <v>R$ 0,00 - vencimento 00/01/1900</v>
      </c>
    </row>
    <row r="48" spans="1:9">
      <c r="A48" s="1"/>
      <c r="B48" s="12"/>
      <c r="C48" s="2"/>
      <c r="D48" s="14"/>
      <c r="F48" s="9" t="str">
        <f t="shared" si="6"/>
        <v xml:space="preserve"> 00-01 R$ 0,00</v>
      </c>
      <c r="G48" s="10" t="str">
        <f t="shared" si="7"/>
        <v/>
      </c>
      <c r="H48" s="11" t="str">
        <f t="shared" si="8"/>
        <v>R$ 0,00 - vencimento 00/01/1900</v>
      </c>
    </row>
    <row r="49" spans="1:8">
      <c r="A49" s="1"/>
      <c r="B49" s="12"/>
      <c r="C49" s="2"/>
      <c r="D49" s="14"/>
      <c r="F49" s="9" t="str">
        <f t="shared" si="6"/>
        <v xml:space="preserve"> 00-01 R$ 0,00</v>
      </c>
      <c r="G49" s="10" t="str">
        <f t="shared" si="7"/>
        <v/>
      </c>
      <c r="H49" s="11" t="str">
        <f t="shared" si="8"/>
        <v>R$ 0,00 - vencimento 00/01/1900</v>
      </c>
    </row>
    <row r="50" spans="1:8">
      <c r="A50" s="1"/>
      <c r="B50" s="12"/>
      <c r="C50" s="2"/>
      <c r="D50" s="14"/>
      <c r="F50" s="9" t="str">
        <f t="shared" si="6"/>
        <v xml:space="preserve"> 00-01 R$ 0,00</v>
      </c>
      <c r="G50" s="10" t="str">
        <f t="shared" si="7"/>
        <v/>
      </c>
      <c r="H50" s="11" t="str">
        <f t="shared" si="8"/>
        <v>R$ 0,00 - vencimento 00/01/1900</v>
      </c>
    </row>
    <row r="51" spans="1:8">
      <c r="A51" s="1"/>
      <c r="B51" s="12"/>
      <c r="C51" s="2"/>
      <c r="D51" s="14"/>
      <c r="F51" s="9" t="str">
        <f t="shared" si="6"/>
        <v xml:space="preserve"> 00-01 R$ 0,00</v>
      </c>
      <c r="G51" s="10" t="str">
        <f t="shared" si="7"/>
        <v/>
      </c>
      <c r="H51" s="11" t="str">
        <f t="shared" si="8"/>
        <v>R$ 0,00 - vencimento 00/01/1900</v>
      </c>
    </row>
    <row r="52" spans="1:8">
      <c r="A52" s="1"/>
      <c r="B52" s="12"/>
      <c r="C52" s="2"/>
      <c r="D52" s="14"/>
      <c r="F52" s="9" t="str">
        <f t="shared" si="6"/>
        <v xml:space="preserve"> 00-01 R$ 0,00</v>
      </c>
      <c r="G52" s="10" t="str">
        <f t="shared" si="7"/>
        <v/>
      </c>
      <c r="H52" s="11" t="str">
        <f t="shared" si="8"/>
        <v>R$ 0,00 - vencimento 00/01/1900</v>
      </c>
    </row>
    <row r="53" spans="1:8">
      <c r="A53" s="1"/>
      <c r="B53" s="12"/>
      <c r="C53" s="2"/>
      <c r="D53" s="14"/>
      <c r="F53" s="9" t="str">
        <f t="shared" si="6"/>
        <v xml:space="preserve"> 00-01 R$ 0,00</v>
      </c>
      <c r="G53" s="10" t="str">
        <f t="shared" si="7"/>
        <v/>
      </c>
      <c r="H53" s="11" t="str">
        <f t="shared" si="8"/>
        <v>R$ 0,00 - vencimento 00/01/1900</v>
      </c>
    </row>
    <row r="54" spans="1:8">
      <c r="A54" s="1"/>
      <c r="B54" s="12"/>
      <c r="C54" s="2"/>
      <c r="D54" s="14"/>
      <c r="F54" s="9" t="str">
        <f t="shared" si="6"/>
        <v xml:space="preserve"> 00-01 R$ 0,00</v>
      </c>
      <c r="G54" s="10" t="str">
        <f t="shared" si="7"/>
        <v/>
      </c>
      <c r="H54" s="11" t="str">
        <f t="shared" si="8"/>
        <v>R$ 0,00 - vencimento 00/01/1900</v>
      </c>
    </row>
    <row r="55" spans="1:8">
      <c r="A55" s="1"/>
      <c r="B55" s="12"/>
      <c r="C55" s="2"/>
      <c r="D55" s="14"/>
      <c r="F55" s="9" t="str">
        <f t="shared" si="6"/>
        <v xml:space="preserve"> 00-01 R$ 0,00</v>
      </c>
      <c r="G55" s="10" t="str">
        <f t="shared" si="7"/>
        <v/>
      </c>
      <c r="H55" s="11" t="str">
        <f t="shared" si="8"/>
        <v>R$ 0,00 - vencimento 00/01/1900</v>
      </c>
    </row>
    <row r="56" spans="1:8">
      <c r="A56" s="1"/>
      <c r="B56" s="12"/>
      <c r="C56" s="2"/>
      <c r="D56" s="14"/>
      <c r="F56" s="9" t="str">
        <f t="shared" si="6"/>
        <v xml:space="preserve"> 00-01 R$ 0,00</v>
      </c>
      <c r="G56" s="10" t="str">
        <f t="shared" si="7"/>
        <v/>
      </c>
      <c r="H56" s="11" t="str">
        <f t="shared" si="8"/>
        <v>R$ 0,00 - vencimento 00/01/1900</v>
      </c>
    </row>
    <row r="57" spans="1:8">
      <c r="A57" s="1"/>
      <c r="B57" s="12"/>
      <c r="C57" s="2"/>
      <c r="D57" s="14"/>
      <c r="F57" s="9" t="str">
        <f t="shared" si="6"/>
        <v xml:space="preserve"> 00-01 R$ 0,00</v>
      </c>
      <c r="G57" s="10" t="str">
        <f t="shared" si="7"/>
        <v/>
      </c>
      <c r="H57" s="11" t="str">
        <f t="shared" si="8"/>
        <v>R$ 0,00 - vencimento 00/01/1900</v>
      </c>
    </row>
    <row r="58" spans="1:8">
      <c r="A58" s="1"/>
      <c r="B58" s="12"/>
      <c r="C58" s="2"/>
      <c r="D58" s="14"/>
      <c r="F58" s="9" t="str">
        <f t="shared" si="6"/>
        <v xml:space="preserve"> 00-01 R$ 0,00</v>
      </c>
      <c r="G58" s="10" t="str">
        <f t="shared" si="7"/>
        <v/>
      </c>
      <c r="H58" s="11" t="str">
        <f t="shared" si="8"/>
        <v>R$ 0,00 - vencimento 00/01/1900</v>
      </c>
    </row>
    <row r="59" spans="1:8">
      <c r="A59" s="1"/>
      <c r="B59" s="12"/>
      <c r="C59" s="2"/>
      <c r="D59" s="14"/>
      <c r="F59" s="9" t="str">
        <f t="shared" si="6"/>
        <v xml:space="preserve"> 00-01 R$ 0,00</v>
      </c>
      <c r="G59" s="10" t="str">
        <f t="shared" si="7"/>
        <v/>
      </c>
      <c r="H59" s="11" t="str">
        <f t="shared" si="8"/>
        <v>R$ 0,00 - vencimento 00/01/1900</v>
      </c>
    </row>
    <row r="60" spans="1:8">
      <c r="A60" s="1"/>
      <c r="B60" s="12"/>
      <c r="C60" s="2"/>
      <c r="D60" s="14"/>
      <c r="F60" s="9" t="str">
        <f t="shared" si="6"/>
        <v xml:space="preserve"> 00-01 R$ 0,00</v>
      </c>
      <c r="G60" s="10" t="str">
        <f t="shared" si="7"/>
        <v/>
      </c>
      <c r="H60" s="11" t="str">
        <f t="shared" si="8"/>
        <v>R$ 0,00 - vencimento 00/01/1900</v>
      </c>
    </row>
    <row r="61" spans="1:8">
      <c r="A61" s="1"/>
      <c r="B61" s="12"/>
      <c r="C61" s="2"/>
      <c r="D61" s="14"/>
      <c r="F61" s="9" t="str">
        <f t="shared" si="6"/>
        <v xml:space="preserve"> 00-01 R$ 0,00</v>
      </c>
      <c r="G61" s="10" t="str">
        <f t="shared" si="7"/>
        <v/>
      </c>
      <c r="H61" s="11" t="str">
        <f t="shared" si="8"/>
        <v>R$ 0,00 - vencimento 00/01/1900</v>
      </c>
    </row>
    <row r="62" spans="1:8">
      <c r="A62" s="1"/>
      <c r="B62" s="12"/>
      <c r="C62" s="2"/>
      <c r="D62" s="14"/>
      <c r="F62" s="9" t="str">
        <f t="shared" si="6"/>
        <v xml:space="preserve"> 00-01 R$ 0,00</v>
      </c>
      <c r="G62" s="10" t="str">
        <f t="shared" si="7"/>
        <v/>
      </c>
      <c r="H62" s="11" t="str">
        <f t="shared" si="8"/>
        <v>R$ 0,00 - vencimento 00/01/1900</v>
      </c>
    </row>
    <row r="63" spans="1:8">
      <c r="A63" s="1"/>
      <c r="B63" s="12"/>
      <c r="C63" s="2"/>
      <c r="D63" s="14"/>
      <c r="F63" s="9" t="str">
        <f t="shared" si="6"/>
        <v xml:space="preserve"> 00-01 R$ 0,00</v>
      </c>
      <c r="G63" s="10" t="str">
        <f t="shared" si="7"/>
        <v/>
      </c>
      <c r="H63" s="11" t="str">
        <f t="shared" si="8"/>
        <v>R$ 0,00 - vencimento 00/01/1900</v>
      </c>
    </row>
  </sheetData>
  <autoFilter ref="A1:I1" xr:uid="{00000000-0001-0000-0000-000000000000}">
    <sortState xmlns:xlrd2="http://schemas.microsoft.com/office/spreadsheetml/2017/richdata2" ref="A2:I22">
      <sortCondition ref="B1"/>
    </sortState>
  </autoFilter>
  <pageMargins left="0.7" right="0.7" top="0.75" bottom="0.75" header="0.3" footer="0.3"/>
  <pageSetup paperSize="9" scale="3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A0F3-EBF0-4346-919C-27547E981BDE}">
  <sheetPr filterMode="1"/>
  <dimension ref="A1:G231"/>
  <sheetViews>
    <sheetView zoomScale="145" zoomScaleNormal="145" workbookViewId="0">
      <selection sqref="A1:C1048576"/>
    </sheetView>
  </sheetViews>
  <sheetFormatPr defaultRowHeight="12.75"/>
  <cols>
    <col min="1" max="1" width="69.5" bestFit="1" customWidth="1"/>
  </cols>
  <sheetData>
    <row r="1" spans="1:7">
      <c r="A1" t="s">
        <v>5</v>
      </c>
    </row>
    <row r="2" spans="1:7" ht="15">
      <c r="A2" s="25" t="s">
        <v>36</v>
      </c>
      <c r="B2" s="25"/>
    </row>
    <row r="3" spans="1:7">
      <c r="A3" s="26" t="s">
        <v>37</v>
      </c>
      <c r="B3" s="27"/>
    </row>
    <row r="4" spans="1:7">
      <c r="A4" s="24" t="s">
        <v>38</v>
      </c>
      <c r="B4" s="28">
        <v>0</v>
      </c>
    </row>
    <row r="5" spans="1:7">
      <c r="A5" s="29">
        <v>130398474</v>
      </c>
      <c r="B5" s="30"/>
      <c r="E5" s="16"/>
      <c r="F5" s="16"/>
      <c r="G5" s="16"/>
    </row>
    <row r="6" spans="1:7">
      <c r="A6" s="31" t="s">
        <v>39</v>
      </c>
      <c r="B6" s="32">
        <v>0</v>
      </c>
    </row>
    <row r="7" spans="1:7">
      <c r="A7" s="29">
        <v>130398154</v>
      </c>
      <c r="B7" s="30"/>
    </row>
    <row r="8" spans="1:7">
      <c r="A8" s="31" t="s">
        <v>40</v>
      </c>
      <c r="B8" s="32">
        <v>0</v>
      </c>
    </row>
    <row r="9" spans="1:7">
      <c r="A9" s="29">
        <v>130398156</v>
      </c>
      <c r="B9" s="30"/>
    </row>
    <row r="10" spans="1:7">
      <c r="A10" s="31" t="s">
        <v>39</v>
      </c>
      <c r="B10" s="32">
        <v>0</v>
      </c>
    </row>
    <row r="11" spans="1:7">
      <c r="A11" s="29">
        <v>130432017</v>
      </c>
      <c r="B11" s="30"/>
    </row>
    <row r="12" spans="1:7">
      <c r="A12" s="31" t="s">
        <v>40</v>
      </c>
      <c r="B12" s="32">
        <v>0</v>
      </c>
    </row>
    <row r="13" spans="1:7">
      <c r="A13" s="33">
        <v>130432021</v>
      </c>
      <c r="B13" s="34"/>
    </row>
    <row r="14" spans="1:7">
      <c r="A14" s="20" t="s">
        <v>41</v>
      </c>
      <c r="B14" s="35"/>
    </row>
    <row r="15" spans="1:7">
      <c r="A15" s="36" t="s">
        <v>33</v>
      </c>
      <c r="B15" s="36"/>
    </row>
    <row r="16" spans="1:7">
      <c r="A16" s="36" t="s">
        <v>34</v>
      </c>
      <c r="B16" s="36"/>
    </row>
    <row r="17" spans="1:2">
      <c r="A17" s="36" t="s">
        <v>35</v>
      </c>
      <c r="B17" s="36"/>
    </row>
    <row r="25" spans="1:2">
      <c r="A25" s="9"/>
    </row>
    <row r="26" spans="1:2">
      <c r="A26" s="9"/>
    </row>
    <row r="27" spans="1:2">
      <c r="A27" s="9"/>
    </row>
    <row r="28" spans="1:2">
      <c r="A28" s="9"/>
    </row>
    <row r="29" spans="1:2">
      <c r="A29" s="9"/>
    </row>
    <row r="30" spans="1:2">
      <c r="A30" s="9"/>
    </row>
    <row r="31" spans="1:2">
      <c r="A31" s="9"/>
    </row>
    <row r="32" spans="1:2">
      <c r="A32" s="9"/>
    </row>
    <row r="33" spans="1:1">
      <c r="A33" s="9"/>
    </row>
    <row r="34" spans="1:1">
      <c r="A34" s="9"/>
    </row>
    <row r="35" spans="1:1">
      <c r="A35" s="9"/>
    </row>
    <row r="36" spans="1:1">
      <c r="A36" s="9"/>
    </row>
    <row r="37" spans="1:1">
      <c r="A37" s="9"/>
    </row>
    <row r="38" spans="1:1">
      <c r="A38" s="9"/>
    </row>
    <row r="39" spans="1:1">
      <c r="A39" s="9"/>
    </row>
    <row r="40" spans="1:1">
      <c r="A40" s="9"/>
    </row>
    <row r="41" spans="1:1">
      <c r="A41" s="9"/>
    </row>
    <row r="42" spans="1:1">
      <c r="A42" s="9"/>
    </row>
    <row r="43" spans="1:1">
      <c r="A43" s="9"/>
    </row>
    <row r="44" spans="1:1">
      <c r="A44" s="9"/>
    </row>
    <row r="45" spans="1:1">
      <c r="A45" s="9"/>
    </row>
    <row r="46" spans="1:1">
      <c r="A46" s="9"/>
    </row>
    <row r="47" spans="1:1">
      <c r="A47" s="9"/>
    </row>
    <row r="48" spans="1:1">
      <c r="A48" s="9"/>
    </row>
    <row r="49" spans="1:1">
      <c r="A49" s="9"/>
    </row>
    <row r="50" spans="1:1">
      <c r="A50" s="9"/>
    </row>
    <row r="51" spans="1:1">
      <c r="A51" s="9"/>
    </row>
    <row r="52" spans="1:1">
      <c r="A52" s="9"/>
    </row>
    <row r="53" spans="1:1">
      <c r="A53" s="9"/>
    </row>
    <row r="54" spans="1:1">
      <c r="A54" s="9"/>
    </row>
    <row r="55" spans="1:1">
      <c r="A55" s="9"/>
    </row>
    <row r="56" spans="1:1">
      <c r="A56" s="9"/>
    </row>
    <row r="57" spans="1:1">
      <c r="A57" s="9"/>
    </row>
    <row r="58" spans="1:1">
      <c r="A58" s="9"/>
    </row>
    <row r="59" spans="1:1">
      <c r="A59" s="9"/>
    </row>
    <row r="60" spans="1:1">
      <c r="A60" s="9"/>
    </row>
    <row r="61" spans="1:1">
      <c r="A61" s="9"/>
    </row>
    <row r="62" spans="1:1">
      <c r="A62" s="9"/>
    </row>
    <row r="63" spans="1:1">
      <c r="A63" s="9"/>
    </row>
    <row r="64" spans="1:1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  <row r="70" spans="1:1">
      <c r="A70" s="9"/>
    </row>
    <row r="71" spans="1:1">
      <c r="A71" s="9"/>
    </row>
    <row r="72" spans="1:1">
      <c r="A72" s="9"/>
    </row>
    <row r="73" spans="1:1">
      <c r="A73" s="9"/>
    </row>
    <row r="74" spans="1:1">
      <c r="A74" s="9"/>
    </row>
    <row r="75" spans="1:1">
      <c r="A75" s="9"/>
    </row>
    <row r="76" spans="1:1">
      <c r="A76" s="9"/>
    </row>
    <row r="77" spans="1:1">
      <c r="A77" s="9"/>
    </row>
    <row r="78" spans="1:1">
      <c r="A78" s="9"/>
    </row>
    <row r="79" spans="1:1">
      <c r="A79" s="9"/>
    </row>
    <row r="80" spans="1:1">
      <c r="A80" s="9"/>
    </row>
    <row r="81" spans="1:1">
      <c r="A81" s="9"/>
    </row>
    <row r="82" spans="1:1">
      <c r="A82" s="9"/>
    </row>
    <row r="83" spans="1:1">
      <c r="A83" s="9"/>
    </row>
    <row r="84" spans="1:1">
      <c r="A84" s="9"/>
    </row>
    <row r="85" spans="1:1">
      <c r="A85" s="9"/>
    </row>
    <row r="86" spans="1:1">
      <c r="A86" s="9"/>
    </row>
    <row r="87" spans="1:1">
      <c r="A87" s="9"/>
    </row>
    <row r="88" spans="1:1">
      <c r="A88" s="9"/>
    </row>
    <row r="89" spans="1:1">
      <c r="A89" s="9"/>
    </row>
    <row r="90" spans="1:1">
      <c r="A90" s="9"/>
    </row>
    <row r="91" spans="1:1">
      <c r="A91" s="9"/>
    </row>
    <row r="92" spans="1:1">
      <c r="A92" s="9"/>
    </row>
    <row r="93" spans="1:1">
      <c r="A93" s="9"/>
    </row>
    <row r="94" spans="1:1">
      <c r="A94" s="9"/>
    </row>
    <row r="95" spans="1:1">
      <c r="A95" s="9"/>
    </row>
    <row r="96" spans="1:1">
      <c r="A96" s="9"/>
    </row>
    <row r="97" spans="1:1">
      <c r="A97" s="9"/>
    </row>
    <row r="98" spans="1:1">
      <c r="A98" s="9"/>
    </row>
    <row r="99" spans="1:1">
      <c r="A99" s="9"/>
    </row>
    <row r="100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1" spans="1:1">
      <c r="A111" s="9"/>
    </row>
    <row r="112" spans="1:1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  <row r="144" spans="1:1">
      <c r="A144" s="9"/>
    </row>
    <row r="145" spans="1:1">
      <c r="A145" s="9"/>
    </row>
    <row r="146" spans="1:1">
      <c r="A146" s="9"/>
    </row>
    <row r="147" spans="1:1">
      <c r="A147" s="9"/>
    </row>
    <row r="148" spans="1:1">
      <c r="A148" s="9"/>
    </row>
    <row r="149" spans="1:1">
      <c r="A149" s="9"/>
    </row>
    <row r="150" spans="1:1">
      <c r="A150" s="9"/>
    </row>
    <row r="151" spans="1:1">
      <c r="A151" s="9"/>
    </row>
    <row r="152" spans="1:1">
      <c r="A152" s="9"/>
    </row>
    <row r="153" spans="1:1">
      <c r="A153" s="9"/>
    </row>
    <row r="154" spans="1:1">
      <c r="A154" s="9"/>
    </row>
    <row r="155" spans="1:1">
      <c r="A155" s="9"/>
    </row>
    <row r="156" spans="1:1">
      <c r="A156" s="9"/>
    </row>
    <row r="157" spans="1:1">
      <c r="A157" s="9"/>
    </row>
    <row r="158" spans="1:1">
      <c r="A158" s="9"/>
    </row>
    <row r="159" spans="1:1">
      <c r="A159" s="9"/>
    </row>
    <row r="160" spans="1:1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  <row r="181" spans="1:1">
      <c r="A181" s="9"/>
    </row>
    <row r="182" spans="1:1">
      <c r="A182" s="9"/>
    </row>
    <row r="183" spans="1:1">
      <c r="A183" s="9"/>
    </row>
    <row r="184" spans="1:1">
      <c r="A184" s="9"/>
    </row>
    <row r="185" spans="1:1">
      <c r="A185" s="9"/>
    </row>
    <row r="186" spans="1:1">
      <c r="A186" s="9"/>
    </row>
    <row r="187" spans="1:1">
      <c r="A187" s="9"/>
    </row>
    <row r="188" spans="1:1">
      <c r="A188" s="9"/>
    </row>
    <row r="189" spans="1:1">
      <c r="A189" s="9"/>
    </row>
    <row r="190" spans="1:1">
      <c r="A190" s="9"/>
    </row>
    <row r="191" spans="1:1">
      <c r="A191" s="9"/>
    </row>
    <row r="192" spans="1:1">
      <c r="A192" s="9"/>
    </row>
    <row r="193" spans="1:1">
      <c r="A193" s="9"/>
    </row>
    <row r="194" spans="1:1">
      <c r="A194" s="9"/>
    </row>
    <row r="195" spans="1:1">
      <c r="A195" s="9"/>
    </row>
    <row r="196" spans="1:1">
      <c r="A196" s="9"/>
    </row>
    <row r="197" spans="1:1">
      <c r="A197" s="9"/>
    </row>
    <row r="198" spans="1:1">
      <c r="A198" s="9"/>
    </row>
    <row r="199" spans="1:1">
      <c r="A199" s="9"/>
    </row>
    <row r="200" spans="1:1">
      <c r="A200" s="9"/>
    </row>
    <row r="201" spans="1:1">
      <c r="A201" s="9"/>
    </row>
    <row r="202" spans="1:1">
      <c r="A202" s="9"/>
    </row>
    <row r="203" spans="1:1">
      <c r="A203" s="9"/>
    </row>
    <row r="204" spans="1:1">
      <c r="A204" s="9"/>
    </row>
    <row r="205" spans="1:1">
      <c r="A205" s="9"/>
    </row>
    <row r="206" spans="1:1">
      <c r="A206" s="9"/>
    </row>
    <row r="207" spans="1:1">
      <c r="A207" s="9"/>
    </row>
    <row r="208" spans="1:1">
      <c r="A208" s="9"/>
    </row>
    <row r="209" spans="1:1">
      <c r="A209" s="9"/>
    </row>
    <row r="210" spans="1:1">
      <c r="A210" s="9"/>
    </row>
    <row r="211" spans="1:1">
      <c r="A211" s="9"/>
    </row>
    <row r="212" spans="1:1">
      <c r="A212" s="9"/>
    </row>
    <row r="213" spans="1:1">
      <c r="A213" s="9"/>
    </row>
    <row r="214" spans="1:1">
      <c r="A214" s="9"/>
    </row>
    <row r="215" spans="1:1">
      <c r="A215" s="9"/>
    </row>
    <row r="216" spans="1:1">
      <c r="A216" s="9"/>
    </row>
    <row r="217" spans="1:1">
      <c r="A217" s="9"/>
    </row>
    <row r="218" spans="1:1">
      <c r="A218" s="9"/>
    </row>
    <row r="219" spans="1:1">
      <c r="A219" s="9"/>
    </row>
    <row r="220" spans="1:1">
      <c r="A220" s="9"/>
    </row>
    <row r="221" spans="1:1">
      <c r="A221" s="9"/>
    </row>
    <row r="222" spans="1:1">
      <c r="A222" s="9"/>
    </row>
    <row r="223" spans="1:1">
      <c r="A223" s="9"/>
    </row>
    <row r="224" spans="1:1">
      <c r="A224" s="9"/>
    </row>
    <row r="225" spans="1:1">
      <c r="A225" s="9"/>
    </row>
    <row r="226" spans="1:1">
      <c r="A226" s="9"/>
    </row>
    <row r="227" spans="1:1">
      <c r="A227" s="9"/>
    </row>
    <row r="228" spans="1:1">
      <c r="A228" s="9"/>
    </row>
    <row r="229" spans="1:1">
      <c r="A229" s="9"/>
    </row>
    <row r="230" spans="1:1">
      <c r="A230" s="9"/>
    </row>
    <row r="231" spans="1:1">
      <c r="A231" s="9"/>
    </row>
  </sheetData>
  <autoFilter ref="A1:A75" xr:uid="{C50DA0F3-EBF0-4346-919C-27547E981BDE}">
    <filterColumn colId="0">
      <filters>
        <filter val="LAS CASAS CONSTRUTORA E INCORPORADORA EI 12-11 R$ 562,88"/>
      </filters>
    </filterColumn>
    <sortState xmlns:xlrd2="http://schemas.microsoft.com/office/spreadsheetml/2017/richdata2" ref="A2:A62">
      <sortCondition ref="A1:A75"/>
    </sortState>
  </autoFilter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355B-97C7-4D4A-8473-68BCAB0BFFC4}">
  <dimension ref="A1:B132"/>
  <sheetViews>
    <sheetView zoomScale="130" zoomScaleNormal="130" workbookViewId="0">
      <selection sqref="A1:B21"/>
    </sheetView>
  </sheetViews>
  <sheetFormatPr defaultColWidth="9.5" defaultRowHeight="12.75"/>
  <cols>
    <col min="1" max="2" width="83.6640625" customWidth="1"/>
  </cols>
  <sheetData>
    <row r="1" spans="1:2">
      <c r="A1" s="19" t="s">
        <v>16</v>
      </c>
      <c r="B1" s="19" t="s">
        <v>17</v>
      </c>
    </row>
    <row r="2" spans="1:2">
      <c r="A2" s="19" t="s">
        <v>29</v>
      </c>
      <c r="B2" s="19" t="s">
        <v>30</v>
      </c>
    </row>
    <row r="3" spans="1:2">
      <c r="A3" s="19" t="s">
        <v>18</v>
      </c>
      <c r="B3" s="15"/>
    </row>
    <row r="4" spans="1:2">
      <c r="A4" s="19" t="s">
        <v>20</v>
      </c>
      <c r="B4" s="19" t="s">
        <v>21</v>
      </c>
    </row>
    <row r="5" spans="1:2">
      <c r="A5" s="19" t="s">
        <v>20</v>
      </c>
      <c r="B5" s="19" t="s">
        <v>21</v>
      </c>
    </row>
    <row r="6" spans="1:2">
      <c r="A6" s="19" t="s">
        <v>9</v>
      </c>
      <c r="B6" s="19" t="s">
        <v>12</v>
      </c>
    </row>
    <row r="7" spans="1:2">
      <c r="A7" s="19" t="s">
        <v>8</v>
      </c>
      <c r="B7" s="19" t="s">
        <v>14</v>
      </c>
    </row>
    <row r="8" spans="1:2">
      <c r="A8" s="19" t="s">
        <v>22</v>
      </c>
      <c r="B8" s="19" t="s">
        <v>23</v>
      </c>
    </row>
    <row r="9" spans="1:2">
      <c r="A9" s="19" t="s">
        <v>28</v>
      </c>
      <c r="B9" s="19" t="s">
        <v>42</v>
      </c>
    </row>
    <row r="10" spans="1:2">
      <c r="A10" s="19" t="s">
        <v>7</v>
      </c>
      <c r="B10" s="19" t="s">
        <v>11</v>
      </c>
    </row>
    <row r="11" spans="1:2">
      <c r="A11" s="19" t="s">
        <v>26</v>
      </c>
      <c r="B11" s="19" t="s">
        <v>27</v>
      </c>
    </row>
    <row r="12" spans="1:2">
      <c r="A12" s="19" t="s">
        <v>26</v>
      </c>
      <c r="B12" s="19" t="s">
        <v>27</v>
      </c>
    </row>
    <row r="13" spans="1:2">
      <c r="A13" s="19" t="s">
        <v>26</v>
      </c>
      <c r="B13" s="19" t="s">
        <v>27</v>
      </c>
    </row>
    <row r="14" spans="1:2">
      <c r="A14" s="19" t="s">
        <v>24</v>
      </c>
      <c r="B14" s="19" t="s">
        <v>25</v>
      </c>
    </row>
    <row r="15" spans="1:2">
      <c r="A15" s="19" t="s">
        <v>31</v>
      </c>
      <c r="B15" s="19" t="s">
        <v>32</v>
      </c>
    </row>
    <row r="16" spans="1:2">
      <c r="A16" s="19" t="s">
        <v>43</v>
      </c>
      <c r="B16" s="19" t="s">
        <v>15</v>
      </c>
    </row>
    <row r="17" spans="1:2">
      <c r="A17" s="19" t="s">
        <v>6</v>
      </c>
      <c r="B17" s="19" t="s">
        <v>19</v>
      </c>
    </row>
    <row r="18" spans="1:2">
      <c r="A18" s="19" t="s">
        <v>6</v>
      </c>
      <c r="B18" s="19" t="s">
        <v>19</v>
      </c>
    </row>
    <row r="19" spans="1:2">
      <c r="A19" s="19" t="s">
        <v>6</v>
      </c>
      <c r="B19" s="19" t="s">
        <v>19</v>
      </c>
    </row>
    <row r="20" spans="1:2">
      <c r="A20" s="19" t="s">
        <v>6</v>
      </c>
      <c r="B20" s="19" t="s">
        <v>19</v>
      </c>
    </row>
    <row r="21" spans="1:2">
      <c r="A21" s="19" t="s">
        <v>10</v>
      </c>
      <c r="B21" s="19" t="s">
        <v>13</v>
      </c>
    </row>
    <row r="25" spans="1:2">
      <c r="A25" s="19"/>
    </row>
    <row r="26" spans="1:2">
      <c r="A26" s="19"/>
    </row>
    <row r="27" spans="1:2">
      <c r="A27" s="19"/>
    </row>
    <row r="28" spans="1:2">
      <c r="A28" s="19"/>
    </row>
    <row r="29" spans="1:2">
      <c r="A29" s="19"/>
    </row>
    <row r="30" spans="1:2">
      <c r="A30" s="19"/>
    </row>
    <row r="31" spans="1:2">
      <c r="A31" s="19"/>
    </row>
    <row r="32" spans="1:2">
      <c r="A32" s="19"/>
    </row>
    <row r="33" spans="1:1">
      <c r="A33" s="19"/>
    </row>
    <row r="34" spans="1:1">
      <c r="A34" s="19"/>
    </row>
    <row r="35" spans="1:1">
      <c r="A35" s="19"/>
    </row>
    <row r="36" spans="1:1">
      <c r="A36" s="15"/>
    </row>
    <row r="37" spans="1:1">
      <c r="A37" s="15"/>
    </row>
    <row r="38" spans="1:1">
      <c r="A38" s="15"/>
    </row>
    <row r="39" spans="1:1">
      <c r="A39" s="15"/>
    </row>
    <row r="40" spans="1:1">
      <c r="A40" s="15"/>
    </row>
    <row r="41" spans="1:1">
      <c r="A41" s="15"/>
    </row>
    <row r="42" spans="1:1">
      <c r="A42" s="15"/>
    </row>
    <row r="43" spans="1:1">
      <c r="A43" s="15"/>
    </row>
    <row r="44" spans="1:1">
      <c r="A44" s="15"/>
    </row>
    <row r="45" spans="1:1">
      <c r="A45" s="15"/>
    </row>
    <row r="46" spans="1:1">
      <c r="A46" s="15"/>
    </row>
    <row r="47" spans="1:1">
      <c r="A47" s="15"/>
    </row>
    <row r="48" spans="1:1">
      <c r="A48" s="15"/>
    </row>
    <row r="49" spans="1:1">
      <c r="A49" s="15"/>
    </row>
    <row r="50" spans="1:1">
      <c r="A50" s="15"/>
    </row>
    <row r="51" spans="1:1">
      <c r="A51" s="15"/>
    </row>
    <row r="52" spans="1:1">
      <c r="A52" s="15"/>
    </row>
    <row r="53" spans="1:1">
      <c r="A53" s="15"/>
    </row>
    <row r="54" spans="1:1">
      <c r="A54" s="15"/>
    </row>
    <row r="55" spans="1:1">
      <c r="A55" s="15"/>
    </row>
    <row r="56" spans="1:1">
      <c r="A56" s="15"/>
    </row>
    <row r="57" spans="1:1">
      <c r="A57" s="15"/>
    </row>
    <row r="58" spans="1:1">
      <c r="A58" s="15"/>
    </row>
    <row r="59" spans="1:1">
      <c r="A59" s="15"/>
    </row>
    <row r="60" spans="1:1">
      <c r="A60" s="15"/>
    </row>
    <row r="61" spans="1:1">
      <c r="A61" s="15"/>
    </row>
    <row r="62" spans="1:1">
      <c r="A62" s="15"/>
    </row>
    <row r="63" spans="1:1">
      <c r="A63" s="15"/>
    </row>
    <row r="64" spans="1:1">
      <c r="A64" s="15"/>
    </row>
    <row r="65" spans="1:1">
      <c r="A65" s="15"/>
    </row>
    <row r="66" spans="1:1">
      <c r="A66" s="15"/>
    </row>
    <row r="67" spans="1:1">
      <c r="A67" s="15"/>
    </row>
    <row r="68" spans="1:1">
      <c r="A68" s="15"/>
    </row>
    <row r="69" spans="1:1">
      <c r="A69" s="15"/>
    </row>
    <row r="70" spans="1:1">
      <c r="A70" s="15"/>
    </row>
    <row r="71" spans="1:1">
      <c r="A71" s="15"/>
    </row>
    <row r="72" spans="1:1">
      <c r="A72" s="15"/>
    </row>
    <row r="73" spans="1:1">
      <c r="A73" s="15"/>
    </row>
    <row r="74" spans="1:1">
      <c r="A74" s="15"/>
    </row>
    <row r="75" spans="1:1">
      <c r="A75" s="15"/>
    </row>
    <row r="76" spans="1:1">
      <c r="A76" s="15"/>
    </row>
    <row r="77" spans="1:1">
      <c r="A77" s="15"/>
    </row>
    <row r="78" spans="1:1">
      <c r="A78" s="15"/>
    </row>
    <row r="79" spans="1:1">
      <c r="A79" s="15"/>
    </row>
    <row r="80" spans="1:1">
      <c r="A80" s="15"/>
    </row>
    <row r="81" spans="1:1">
      <c r="A81" s="15"/>
    </row>
    <row r="82" spans="1:1">
      <c r="A82" s="15"/>
    </row>
    <row r="83" spans="1:1">
      <c r="A83" s="15"/>
    </row>
    <row r="84" spans="1:1">
      <c r="A84" s="15"/>
    </row>
    <row r="85" spans="1:1">
      <c r="A85" s="15"/>
    </row>
    <row r="86" spans="1:1">
      <c r="A86" s="15"/>
    </row>
    <row r="87" spans="1:1">
      <c r="A87" s="15"/>
    </row>
    <row r="88" spans="1:1">
      <c r="A88" s="15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  <row r="101" spans="1:1">
      <c r="A101" s="15"/>
    </row>
    <row r="102" spans="1:1">
      <c r="A102" s="15"/>
    </row>
    <row r="103" spans="1:1">
      <c r="A103" s="15"/>
    </row>
    <row r="104" spans="1:1">
      <c r="A104" s="15"/>
    </row>
    <row r="105" spans="1:1">
      <c r="A105" s="15"/>
    </row>
    <row r="106" spans="1:1">
      <c r="A106" s="15"/>
    </row>
    <row r="107" spans="1:1">
      <c r="A107" s="15"/>
    </row>
    <row r="108" spans="1:1">
      <c r="A108" s="15"/>
    </row>
    <row r="109" spans="1:1">
      <c r="A109" s="15"/>
    </row>
    <row r="110" spans="1:1">
      <c r="A110" s="15"/>
    </row>
    <row r="111" spans="1:1">
      <c r="A111" s="15"/>
    </row>
    <row r="112" spans="1:1">
      <c r="A112" s="15"/>
    </row>
    <row r="113" spans="1:1">
      <c r="A113" s="15"/>
    </row>
    <row r="114" spans="1:1">
      <c r="A114" s="15"/>
    </row>
    <row r="115" spans="1:1">
      <c r="A115" s="15"/>
    </row>
    <row r="116" spans="1:1">
      <c r="A116" s="15"/>
    </row>
    <row r="117" spans="1:1">
      <c r="A117" s="15"/>
    </row>
    <row r="118" spans="1:1">
      <c r="A118" s="15"/>
    </row>
    <row r="119" spans="1:1">
      <c r="A119" s="15"/>
    </row>
    <row r="120" spans="1:1">
      <c r="A120" s="15"/>
    </row>
    <row r="121" spans="1:1">
      <c r="A121" s="15"/>
    </row>
    <row r="122" spans="1:1">
      <c r="A122" s="15"/>
    </row>
    <row r="123" spans="1:1">
      <c r="A123" s="15"/>
    </row>
    <row r="124" spans="1:1">
      <c r="A124" s="15"/>
    </row>
    <row r="125" spans="1:1">
      <c r="A125" s="15"/>
    </row>
    <row r="126" spans="1:1">
      <c r="A126" s="15"/>
    </row>
    <row r="127" spans="1:1">
      <c r="A127" s="15"/>
    </row>
    <row r="128" spans="1:1">
      <c r="A128" s="15"/>
    </row>
    <row r="129" spans="1:1">
      <c r="A129" s="15"/>
    </row>
    <row r="130" spans="1:1">
      <c r="A130" s="15"/>
    </row>
    <row r="131" spans="1:1">
      <c r="A131" s="15"/>
    </row>
    <row r="132" spans="1:1">
      <c r="A132" s="15"/>
    </row>
  </sheetData>
  <sortState xmlns:xlrd2="http://schemas.microsoft.com/office/spreadsheetml/2017/richdata2" ref="A1:B134">
    <sortCondition ref="A1:A13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Alterar dados</vt:lpstr>
      <vt:lpstr>Boletos</vt:lpstr>
      <vt:lpstr>email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User-OEM</dc:creator>
  <cp:lastModifiedBy>Adm SPR</cp:lastModifiedBy>
  <cp:lastPrinted>2024-05-20T17:44:30Z</cp:lastPrinted>
  <dcterms:created xsi:type="dcterms:W3CDTF">2022-10-24T17:35:07Z</dcterms:created>
  <dcterms:modified xsi:type="dcterms:W3CDTF">2025-10-21T18:25:10Z</dcterms:modified>
</cp:coreProperties>
</file>